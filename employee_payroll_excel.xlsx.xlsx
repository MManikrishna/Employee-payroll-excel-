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FBDC31E695D79E/Documents/"/>
    </mc:Choice>
  </mc:AlternateContent>
  <xr:revisionPtr revIDLastSave="4" documentId="8_{9F3BD938-DAB6-4E6D-A4F1-FACC9E8689B9}" xr6:coauthVersionLast="47" xr6:coauthVersionMax="47" xr10:uidLastSave="{A251D19A-E8C9-494C-B403-4CBC00B4B76D}"/>
  <bookViews>
    <workbookView xWindow="1092" yWindow="3156" windowWidth="17280" windowHeight="8880" xr2:uid="{33C89B5A-5000-4E36-B0B9-09DF0BEF3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5" i="1" l="1"/>
  <c r="AD25" i="1"/>
  <c r="AC26" i="1"/>
  <c r="AD26" i="1"/>
  <c r="AC27" i="1"/>
  <c r="AD27" i="1"/>
  <c r="AC28" i="1"/>
  <c r="AD28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4" i="1"/>
  <c r="X25" i="1"/>
  <c r="Y25" i="1"/>
  <c r="Z25" i="1"/>
  <c r="AA25" i="1"/>
  <c r="AB25" i="1"/>
  <c r="X26" i="1"/>
  <c r="Y26" i="1"/>
  <c r="Z26" i="1"/>
  <c r="AA26" i="1"/>
  <c r="AB26" i="1"/>
  <c r="X27" i="1"/>
  <c r="Y27" i="1"/>
  <c r="Z27" i="1"/>
  <c r="AA27" i="1"/>
  <c r="AB27" i="1"/>
  <c r="X28" i="1"/>
  <c r="Y28" i="1"/>
  <c r="Z28" i="1"/>
  <c r="AA28" i="1"/>
  <c r="AB28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R26" i="1"/>
  <c r="X5" i="1"/>
  <c r="AB4" i="1"/>
  <c r="AA4" i="1"/>
  <c r="Z4" i="1"/>
  <c r="Y4" i="1"/>
  <c r="X4" i="1"/>
  <c r="T6" i="1"/>
  <c r="T4" i="1"/>
  <c r="U4" i="1"/>
  <c r="V4" i="1"/>
  <c r="W4" i="1"/>
  <c r="T5" i="1"/>
  <c r="Y5" i="1" s="1"/>
  <c r="U5" i="1"/>
  <c r="Z5" i="1" s="1"/>
  <c r="V5" i="1"/>
  <c r="W5" i="1"/>
  <c r="AB5" i="1" s="1"/>
  <c r="U6" i="1"/>
  <c r="V6" i="1"/>
  <c r="W6" i="1"/>
  <c r="T7" i="1"/>
  <c r="U7" i="1"/>
  <c r="V7" i="1"/>
  <c r="AA7" i="1" s="1"/>
  <c r="W7" i="1"/>
  <c r="T8" i="1"/>
  <c r="U8" i="1"/>
  <c r="Z8" i="1" s="1"/>
  <c r="V8" i="1"/>
  <c r="W8" i="1"/>
  <c r="AB8" i="1" s="1"/>
  <c r="T9" i="1"/>
  <c r="U9" i="1"/>
  <c r="V9" i="1"/>
  <c r="W9" i="1"/>
  <c r="T10" i="1"/>
  <c r="U10" i="1"/>
  <c r="V10" i="1"/>
  <c r="AA10" i="1" s="1"/>
  <c r="W10" i="1"/>
  <c r="T11" i="1"/>
  <c r="U11" i="1"/>
  <c r="Z11" i="1" s="1"/>
  <c r="V11" i="1"/>
  <c r="W11" i="1"/>
  <c r="AB11" i="1" s="1"/>
  <c r="T12" i="1"/>
  <c r="U12" i="1"/>
  <c r="V12" i="1"/>
  <c r="W12" i="1"/>
  <c r="T13" i="1"/>
  <c r="U13" i="1"/>
  <c r="V13" i="1"/>
  <c r="AA13" i="1" s="1"/>
  <c r="W13" i="1"/>
  <c r="T14" i="1"/>
  <c r="U14" i="1"/>
  <c r="Z14" i="1" s="1"/>
  <c r="V14" i="1"/>
  <c r="W14" i="1"/>
  <c r="AB14" i="1" s="1"/>
  <c r="T15" i="1"/>
  <c r="U15" i="1"/>
  <c r="V15" i="1"/>
  <c r="W15" i="1"/>
  <c r="T16" i="1"/>
  <c r="U16" i="1"/>
  <c r="V16" i="1"/>
  <c r="AA16" i="1" s="1"/>
  <c r="W16" i="1"/>
  <c r="T17" i="1"/>
  <c r="U17" i="1"/>
  <c r="Z17" i="1" s="1"/>
  <c r="V17" i="1"/>
  <c r="W17" i="1"/>
  <c r="AB17" i="1" s="1"/>
  <c r="T18" i="1"/>
  <c r="U18" i="1"/>
  <c r="V18" i="1"/>
  <c r="W18" i="1"/>
  <c r="T19" i="1"/>
  <c r="U19" i="1"/>
  <c r="V19" i="1"/>
  <c r="AA19" i="1" s="1"/>
  <c r="W19" i="1"/>
  <c r="T20" i="1"/>
  <c r="U20" i="1"/>
  <c r="Z20" i="1" s="1"/>
  <c r="V20" i="1"/>
  <c r="W20" i="1"/>
  <c r="AB20" i="1" s="1"/>
  <c r="T21" i="1"/>
  <c r="U21" i="1"/>
  <c r="V21" i="1"/>
  <c r="W21" i="1"/>
  <c r="T22" i="1"/>
  <c r="U22" i="1"/>
  <c r="V22" i="1"/>
  <c r="AA22" i="1" s="1"/>
  <c r="W22" i="1"/>
  <c r="T23" i="1"/>
  <c r="U23" i="1"/>
  <c r="Z23" i="1" s="1"/>
  <c r="V23" i="1"/>
  <c r="W23" i="1"/>
  <c r="AB23" i="1" s="1"/>
  <c r="S5" i="1"/>
  <c r="S6" i="1"/>
  <c r="S7" i="1"/>
  <c r="X7" i="1" s="1"/>
  <c r="S8" i="1"/>
  <c r="X8" i="1" s="1"/>
  <c r="S9" i="1"/>
  <c r="S10" i="1"/>
  <c r="X10" i="1" s="1"/>
  <c r="S11" i="1"/>
  <c r="S12" i="1"/>
  <c r="S13" i="1"/>
  <c r="S14" i="1"/>
  <c r="S15" i="1"/>
  <c r="S16" i="1"/>
  <c r="X16" i="1" s="1"/>
  <c r="S17" i="1"/>
  <c r="X17" i="1" s="1"/>
  <c r="S18" i="1"/>
  <c r="S19" i="1"/>
  <c r="X19" i="1" s="1"/>
  <c r="S20" i="1"/>
  <c r="X20" i="1" s="1"/>
  <c r="S21" i="1"/>
  <c r="S22" i="1"/>
  <c r="X22" i="1" s="1"/>
  <c r="S23" i="1"/>
  <c r="S4" i="1"/>
  <c r="AA5" i="1"/>
  <c r="Y6" i="1"/>
  <c r="Z6" i="1"/>
  <c r="AA6" i="1"/>
  <c r="AB6" i="1"/>
  <c r="Y7" i="1"/>
  <c r="Z7" i="1"/>
  <c r="AB7" i="1"/>
  <c r="Y8" i="1"/>
  <c r="AA8" i="1"/>
  <c r="Y9" i="1"/>
  <c r="Z9" i="1"/>
  <c r="AA9" i="1"/>
  <c r="AB9" i="1"/>
  <c r="Y10" i="1"/>
  <c r="Z10" i="1"/>
  <c r="AB10" i="1"/>
  <c r="Y11" i="1"/>
  <c r="AA11" i="1"/>
  <c r="Y12" i="1"/>
  <c r="Z12" i="1"/>
  <c r="AA12" i="1"/>
  <c r="AB12" i="1"/>
  <c r="Y13" i="1"/>
  <c r="Z13" i="1"/>
  <c r="AB13" i="1"/>
  <c r="Y14" i="1"/>
  <c r="AA14" i="1"/>
  <c r="Y15" i="1"/>
  <c r="Z15" i="1"/>
  <c r="AA15" i="1"/>
  <c r="AB15" i="1"/>
  <c r="Y16" i="1"/>
  <c r="Z16" i="1"/>
  <c r="AB16" i="1"/>
  <c r="Y17" i="1"/>
  <c r="AA17" i="1"/>
  <c r="Y18" i="1"/>
  <c r="Z18" i="1"/>
  <c r="AA18" i="1"/>
  <c r="AB18" i="1"/>
  <c r="Y19" i="1"/>
  <c r="Z19" i="1"/>
  <c r="AB19" i="1"/>
  <c r="Y20" i="1"/>
  <c r="AA20" i="1"/>
  <c r="Y21" i="1"/>
  <c r="Z21" i="1"/>
  <c r="AA21" i="1"/>
  <c r="AB21" i="1"/>
  <c r="Y22" i="1"/>
  <c r="Z22" i="1"/>
  <c r="AB22" i="1"/>
  <c r="Y23" i="1"/>
  <c r="AA23" i="1"/>
  <c r="Z3" i="1"/>
  <c r="AA3" i="1"/>
  <c r="AB3" i="1" s="1"/>
  <c r="Y3" i="1"/>
  <c r="X6" i="1"/>
  <c r="X9" i="1"/>
  <c r="X11" i="1"/>
  <c r="X12" i="1"/>
  <c r="X13" i="1"/>
  <c r="X14" i="1"/>
  <c r="X15" i="1"/>
  <c r="X18" i="1"/>
  <c r="X21" i="1"/>
  <c r="X23" i="1"/>
  <c r="U3" i="1"/>
  <c r="V3" i="1" s="1"/>
  <c r="W3" i="1" s="1"/>
  <c r="T3" i="1"/>
  <c r="O25" i="1"/>
  <c r="P25" i="1"/>
  <c r="Q25" i="1"/>
  <c r="R25" i="1"/>
  <c r="O26" i="1"/>
  <c r="P26" i="1"/>
  <c r="Q26" i="1"/>
  <c r="O27" i="1"/>
  <c r="P27" i="1"/>
  <c r="Q27" i="1"/>
  <c r="R27" i="1"/>
  <c r="O28" i="1"/>
  <c r="P28" i="1"/>
  <c r="Q28" i="1"/>
  <c r="R28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O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N4" i="1"/>
  <c r="I4" i="1"/>
  <c r="J4" i="1"/>
  <c r="K4" i="1"/>
  <c r="L4" i="1"/>
  <c r="M4" i="1"/>
  <c r="I5" i="1"/>
  <c r="J5" i="1"/>
  <c r="K5" i="1"/>
  <c r="L5" i="1"/>
  <c r="M5" i="1"/>
  <c r="N5" i="1"/>
  <c r="I6" i="1"/>
  <c r="J6" i="1"/>
  <c r="K6" i="1"/>
  <c r="L6" i="1"/>
  <c r="M6" i="1"/>
  <c r="N6" i="1"/>
  <c r="I7" i="1"/>
  <c r="J7" i="1"/>
  <c r="K7" i="1"/>
  <c r="L7" i="1"/>
  <c r="M7" i="1"/>
  <c r="N7" i="1"/>
  <c r="I8" i="1"/>
  <c r="J8" i="1"/>
  <c r="K8" i="1"/>
  <c r="L8" i="1"/>
  <c r="M8" i="1"/>
  <c r="N8" i="1"/>
  <c r="I9" i="1"/>
  <c r="J9" i="1"/>
  <c r="K9" i="1"/>
  <c r="L9" i="1"/>
  <c r="M9" i="1"/>
  <c r="N9" i="1"/>
  <c r="I10" i="1"/>
  <c r="J10" i="1"/>
  <c r="K10" i="1"/>
  <c r="L10" i="1"/>
  <c r="M10" i="1"/>
  <c r="N10" i="1"/>
  <c r="I11" i="1"/>
  <c r="J11" i="1"/>
  <c r="K11" i="1"/>
  <c r="L11" i="1"/>
  <c r="M11" i="1"/>
  <c r="N11" i="1"/>
  <c r="I12" i="1"/>
  <c r="J12" i="1"/>
  <c r="K12" i="1"/>
  <c r="L12" i="1"/>
  <c r="M12" i="1"/>
  <c r="N12" i="1"/>
  <c r="I13" i="1"/>
  <c r="J13" i="1"/>
  <c r="K13" i="1"/>
  <c r="L13" i="1"/>
  <c r="M13" i="1"/>
  <c r="N13" i="1"/>
  <c r="I14" i="1"/>
  <c r="J14" i="1"/>
  <c r="K14" i="1"/>
  <c r="L14" i="1"/>
  <c r="M14" i="1"/>
  <c r="N14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I22" i="1"/>
  <c r="J22" i="1"/>
  <c r="K22" i="1"/>
  <c r="L22" i="1"/>
  <c r="M22" i="1"/>
  <c r="N22" i="1"/>
  <c r="I23" i="1"/>
  <c r="J23" i="1"/>
  <c r="K23" i="1"/>
  <c r="L23" i="1"/>
  <c r="M23" i="1"/>
  <c r="N23" i="1"/>
  <c r="O3" i="1"/>
  <c r="P3" i="1" s="1"/>
  <c r="Q3" i="1" s="1"/>
  <c r="R3" i="1" s="1"/>
  <c r="J3" i="1"/>
  <c r="K3" i="1" s="1"/>
  <c r="L3" i="1" s="1"/>
  <c r="M3" i="1" s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3" i="1"/>
  <c r="F3" i="1" s="1"/>
  <c r="G3" i="1" s="1"/>
  <c r="H3" i="1" s="1"/>
  <c r="D26" i="1"/>
  <c r="D27" i="1"/>
  <c r="D28" i="1"/>
  <c r="C28" i="1"/>
  <c r="D25" i="1"/>
  <c r="C25" i="1"/>
  <c r="C27" i="1"/>
  <c r="C26" i="1"/>
  <c r="I25" i="1" l="1"/>
  <c r="I27" i="1"/>
  <c r="I26" i="1"/>
  <c r="I28" i="1"/>
  <c r="N27" i="1"/>
  <c r="N26" i="1"/>
  <c r="N28" i="1"/>
  <c r="N25" i="1"/>
  <c r="S26" i="1" l="1"/>
  <c r="S28" i="1"/>
  <c r="S27" i="1"/>
  <c r="S25" i="1"/>
</calcChain>
</file>

<file path=xl/sharedStrings.xml><?xml version="1.0" encoding="utf-8"?>
<sst xmlns="http://schemas.openxmlformats.org/spreadsheetml/2006/main" count="55" uniqueCount="55">
  <si>
    <t>Employee Payroll</t>
  </si>
  <si>
    <t xml:space="preserve">Last name </t>
  </si>
  <si>
    <t xml:space="preserve">First name </t>
  </si>
  <si>
    <t>Hourly wages</t>
  </si>
  <si>
    <t>Hours worked</t>
  </si>
  <si>
    <t>Sharma</t>
  </si>
  <si>
    <t>Patel</t>
  </si>
  <si>
    <t>Gupta</t>
  </si>
  <si>
    <t>Mehta</t>
  </si>
  <si>
    <t>Reddy</t>
  </si>
  <si>
    <t>Kumar</t>
  </si>
  <si>
    <t>Singh</t>
  </si>
  <si>
    <t>Iyer</t>
  </si>
  <si>
    <t>Joshi</t>
  </si>
  <si>
    <t>Kapoor</t>
  </si>
  <si>
    <t>Nair</t>
  </si>
  <si>
    <t>Rao</t>
  </si>
  <si>
    <t>Choudhary</t>
  </si>
  <si>
    <t>Bhat</t>
  </si>
  <si>
    <t>Malhotra</t>
  </si>
  <si>
    <t>Desai</t>
  </si>
  <si>
    <t>Menon</t>
  </si>
  <si>
    <t>Aggarwal</t>
  </si>
  <si>
    <t>Jain</t>
  </si>
  <si>
    <t>Verma</t>
  </si>
  <si>
    <t>Aarav</t>
  </si>
  <si>
    <t>Priya</t>
  </si>
  <si>
    <t>Karan</t>
  </si>
  <si>
    <t>Ananya</t>
  </si>
  <si>
    <t>Rohan</t>
  </si>
  <si>
    <t>Sneha</t>
  </si>
  <si>
    <t>Vikram</t>
  </si>
  <si>
    <t>Ishita</t>
  </si>
  <si>
    <t>Aditya</t>
  </si>
  <si>
    <t>Meera</t>
  </si>
  <si>
    <t>Rahul</t>
  </si>
  <si>
    <t>Tanya</t>
  </si>
  <si>
    <t>Arjun</t>
  </si>
  <si>
    <t>Kavya</t>
  </si>
  <si>
    <t>Sameer</t>
  </si>
  <si>
    <t>Nisha</t>
  </si>
  <si>
    <t>Varun</t>
  </si>
  <si>
    <t>Anika</t>
  </si>
  <si>
    <t>Dev</t>
  </si>
  <si>
    <t>Simran</t>
  </si>
  <si>
    <t>pay</t>
  </si>
  <si>
    <t>Max</t>
  </si>
  <si>
    <t>Min</t>
  </si>
  <si>
    <t>AVG</t>
  </si>
  <si>
    <t>TOTAL</t>
  </si>
  <si>
    <t xml:space="preserve">mani krishna </t>
  </si>
  <si>
    <t>over time</t>
  </si>
  <si>
    <t>over time bonus</t>
  </si>
  <si>
    <t>total pay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</si>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</sst>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9" formatCode="_-[$$-409]* #,##0.00_ ;_-[$$-409]* \-#,##0.00\ ;_-[$$-409]* &quot;-&quot;??_ ;_-@_ "/>
    <numFmt numFmtId="170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69" fontId="0" fillId="0" borderId="0" xfId="0" applyNumberFormat="1"/>
    <xf numFmtId="0" fontId="0" fillId="0" borderId="0" xfId="0" applyNumberFormat="1"/>
    <xf numFmtId="170" fontId="0" fillId="0" borderId="0" xfId="0" applyNumberFormat="1"/>
    <xf numFmtId="0" fontId="0" fillId="0" borderId="0" xfId="1" applyNumberFormat="1" applyFont="1"/>
    <xf numFmtId="0" fontId="0" fillId="2" borderId="0" xfId="0" applyFill="1"/>
    <xf numFmtId="16" fontId="0" fillId="2" borderId="0" xfId="0" applyNumberFormat="1" applyFill="1"/>
    <xf numFmtId="16" fontId="2" fillId="2" borderId="0" xfId="0" applyNumberFormat="1" applyFont="1" applyFill="1"/>
    <xf numFmtId="0" fontId="0" fillId="3" borderId="0" xfId="0" applyFill="1"/>
    <xf numFmtId="0" fontId="0" fillId="4" borderId="0" xfId="0" applyFill="1"/>
    <xf numFmtId="169" fontId="0" fillId="5" borderId="0" xfId="0" applyNumberFormat="1" applyFill="1"/>
    <xf numFmtId="169" fontId="0" fillId="6" borderId="0" xfId="0" applyNumberFormat="1" applyFill="1"/>
    <xf numFmtId="169" fontId="0" fillId="7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61F1-C412-44E1-A3B5-C42AE00D49B4}">
  <sheetPr>
    <pageSetUpPr fitToPage="1"/>
  </sheetPr>
  <dimension ref="A1:AD28"/>
  <sheetViews>
    <sheetView tabSelected="1" zoomScale="53" zoomScaleNormal="53" workbookViewId="0">
      <selection activeCell="J8" sqref="J8"/>
    </sheetView>
  </sheetViews>
  <sheetFormatPr defaultRowHeight="14.4" x14ac:dyDescent="0.3"/>
  <cols>
    <col min="1" max="1" width="16.6640625" customWidth="1"/>
    <col min="2" max="2" width="11.21875" customWidth="1"/>
    <col min="3" max="3" width="14.5546875" customWidth="1"/>
    <col min="4" max="13" width="13.33203125" customWidth="1"/>
    <col min="14" max="14" width="20.33203125" customWidth="1"/>
    <col min="15" max="15" width="13.6640625" customWidth="1"/>
    <col min="16" max="16" width="18.6640625" customWidth="1"/>
    <col min="17" max="17" width="13.6640625" customWidth="1"/>
    <col min="18" max="18" width="17" customWidth="1"/>
    <col min="19" max="19" width="14" customWidth="1"/>
    <col min="20" max="20" width="17.33203125" customWidth="1"/>
    <col min="21" max="21" width="12.77734375" customWidth="1"/>
    <col min="22" max="22" width="10.77734375" customWidth="1"/>
    <col min="23" max="23" width="11" customWidth="1"/>
    <col min="24" max="24" width="14.109375" customWidth="1"/>
    <col min="25" max="25" width="18.33203125" customWidth="1"/>
    <col min="26" max="26" width="15.109375" customWidth="1"/>
    <col min="27" max="27" width="14.5546875" customWidth="1"/>
    <col min="28" max="28" width="14.88671875" customWidth="1"/>
    <col min="29" max="29" width="16.88671875" customWidth="1"/>
    <col min="30" max="30" width="14.109375" bestFit="1" customWidth="1"/>
  </cols>
  <sheetData>
    <row r="1" spans="1:30" x14ac:dyDescent="0.3">
      <c r="A1" t="s">
        <v>0</v>
      </c>
      <c r="B1" t="s">
        <v>50</v>
      </c>
    </row>
    <row r="2" spans="1:30" x14ac:dyDescent="0.3">
      <c r="D2" t="s">
        <v>4</v>
      </c>
      <c r="I2" s="7" t="s">
        <v>51</v>
      </c>
      <c r="J2" s="7"/>
      <c r="K2" s="7"/>
      <c r="L2" s="7"/>
      <c r="M2" s="7"/>
      <c r="N2" t="s">
        <v>45</v>
      </c>
      <c r="S2" t="s">
        <v>52</v>
      </c>
      <c r="X2" s="5" t="s">
        <v>53</v>
      </c>
      <c r="AD2" t="s">
        <v>54</v>
      </c>
    </row>
    <row r="3" spans="1:30" s="5" customFormat="1" x14ac:dyDescent="0.3">
      <c r="A3" s="5" t="s">
        <v>1</v>
      </c>
      <c r="B3" s="5" t="s">
        <v>2</v>
      </c>
      <c r="C3" s="5" t="s">
        <v>3</v>
      </c>
      <c r="D3" s="6">
        <v>46023</v>
      </c>
      <c r="E3" s="6">
        <f>D3+7</f>
        <v>46030</v>
      </c>
      <c r="F3" s="6">
        <f t="shared" ref="F3:H3" si="0">E3+7</f>
        <v>46037</v>
      </c>
      <c r="G3" s="6">
        <f t="shared" si="0"/>
        <v>46044</v>
      </c>
      <c r="H3" s="6">
        <f t="shared" si="0"/>
        <v>46051</v>
      </c>
      <c r="I3" s="7">
        <v>36892</v>
      </c>
      <c r="J3" s="7">
        <f>I3+7</f>
        <v>36899</v>
      </c>
      <c r="K3" s="7">
        <f t="shared" ref="K3:M3" si="1">J3+7</f>
        <v>36906</v>
      </c>
      <c r="L3" s="7">
        <f t="shared" si="1"/>
        <v>36913</v>
      </c>
      <c r="M3" s="7">
        <f t="shared" si="1"/>
        <v>36920</v>
      </c>
      <c r="N3" s="7">
        <v>36892</v>
      </c>
      <c r="O3" s="6">
        <f>N3+7</f>
        <v>36899</v>
      </c>
      <c r="P3" s="6">
        <f>O3+7</f>
        <v>36906</v>
      </c>
      <c r="Q3" s="6">
        <f>P3+7</f>
        <v>36913</v>
      </c>
      <c r="R3" s="6">
        <f>Q3+7</f>
        <v>36920</v>
      </c>
      <c r="S3" s="7">
        <v>36892</v>
      </c>
      <c r="T3" s="6">
        <f>S3+7</f>
        <v>36899</v>
      </c>
      <c r="U3" s="6">
        <f t="shared" ref="U3:W3" si="2">T3+7</f>
        <v>36906</v>
      </c>
      <c r="V3" s="6">
        <f t="shared" si="2"/>
        <v>36913</v>
      </c>
      <c r="W3" s="6">
        <f t="shared" si="2"/>
        <v>36920</v>
      </c>
      <c r="X3" s="7">
        <v>36892</v>
      </c>
      <c r="Y3" s="6">
        <f>X3+7</f>
        <v>36899</v>
      </c>
      <c r="Z3" s="6">
        <f t="shared" ref="Z3:AB3" si="3">Y3+7</f>
        <v>36906</v>
      </c>
      <c r="AA3" s="6">
        <f t="shared" si="3"/>
        <v>36913</v>
      </c>
      <c r="AB3" s="6">
        <f t="shared" si="3"/>
        <v>36920</v>
      </c>
    </row>
    <row r="4" spans="1:30" x14ac:dyDescent="0.3">
      <c r="A4" t="s">
        <v>5</v>
      </c>
      <c r="B4" t="s">
        <v>25</v>
      </c>
      <c r="C4" s="1">
        <v>150</v>
      </c>
      <c r="D4" s="8">
        <v>40</v>
      </c>
      <c r="E4" s="8">
        <v>39</v>
      </c>
      <c r="F4" s="8">
        <v>42</v>
      </c>
      <c r="G4" s="8">
        <v>35</v>
      </c>
      <c r="H4" s="8">
        <v>40</v>
      </c>
      <c r="I4" s="9">
        <f>IF(D4&gt;40,D4-40,0)</f>
        <v>0</v>
      </c>
      <c r="J4" s="9">
        <f>IF(E4&gt;40,E4-40,0)</f>
        <v>0</v>
      </c>
      <c r="K4" s="9">
        <f t="shared" ref="K4:M19" si="4">IF(F4&gt;40,F4-40,0)</f>
        <v>2</v>
      </c>
      <c r="L4" s="9">
        <f t="shared" si="4"/>
        <v>0</v>
      </c>
      <c r="M4" s="9">
        <f t="shared" si="4"/>
        <v>0</v>
      </c>
      <c r="N4" s="11">
        <f xml:space="preserve"> $C4*D4</f>
        <v>6000</v>
      </c>
      <c r="O4" s="11">
        <f xml:space="preserve"> $C4*E4</f>
        <v>5850</v>
      </c>
      <c r="P4" s="11">
        <f t="shared" ref="P4:R4" si="5" xml:space="preserve"> $C4*F4</f>
        <v>6300</v>
      </c>
      <c r="Q4" s="11">
        <f t="shared" si="5"/>
        <v>5250</v>
      </c>
      <c r="R4" s="11">
        <f t="shared" si="5"/>
        <v>6000</v>
      </c>
      <c r="S4" s="10">
        <f>0.5*$C4*I4</f>
        <v>0</v>
      </c>
      <c r="T4" s="10">
        <f t="shared" ref="T4:W19" si="6">0.5*$C4*J4</f>
        <v>0</v>
      </c>
      <c r="U4" s="10">
        <f t="shared" si="6"/>
        <v>150</v>
      </c>
      <c r="V4" s="10">
        <f t="shared" si="6"/>
        <v>0</v>
      </c>
      <c r="W4" s="10">
        <f t="shared" si="6"/>
        <v>0</v>
      </c>
      <c r="X4" s="12">
        <f>N4+S4</f>
        <v>6000</v>
      </c>
      <c r="Y4" s="12">
        <f>O4+T4</f>
        <v>5850</v>
      </c>
      <c r="Z4" s="12">
        <f>P4+U4</f>
        <v>6450</v>
      </c>
      <c r="AA4" s="12">
        <f>Q4+V4</f>
        <v>5250</v>
      </c>
      <c r="AB4" s="12">
        <f>R4+W4</f>
        <v>6000</v>
      </c>
      <c r="AD4" s="1">
        <f>SUM(X4:AB4)</f>
        <v>29550</v>
      </c>
    </row>
    <row r="5" spans="1:30" x14ac:dyDescent="0.3">
      <c r="A5" t="s">
        <v>6</v>
      </c>
      <c r="B5" t="s">
        <v>26</v>
      </c>
      <c r="C5" s="1">
        <v>200</v>
      </c>
      <c r="D5" s="8">
        <v>36</v>
      </c>
      <c r="E5" s="8">
        <v>35</v>
      </c>
      <c r="F5" s="8">
        <v>37</v>
      </c>
      <c r="G5" s="8">
        <v>37</v>
      </c>
      <c r="H5" s="8">
        <v>38</v>
      </c>
      <c r="I5" s="9">
        <f>IF(D5&gt;40,D5-40,0)</f>
        <v>0</v>
      </c>
      <c r="J5" s="9">
        <f>IF(E5&gt;40,E5-40,0)</f>
        <v>0</v>
      </c>
      <c r="K5" s="9">
        <f t="shared" si="4"/>
        <v>0</v>
      </c>
      <c r="L5" s="9">
        <f t="shared" si="4"/>
        <v>0</v>
      </c>
      <c r="M5" s="9">
        <f t="shared" si="4"/>
        <v>0</v>
      </c>
      <c r="N5" s="11">
        <f>C5*D5</f>
        <v>7200</v>
      </c>
      <c r="O5" s="11">
        <f>D5*E5</f>
        <v>1260</v>
      </c>
      <c r="P5" s="11">
        <f t="shared" ref="P5:R20" si="7">E5*F5</f>
        <v>1295</v>
      </c>
      <c r="Q5" s="11">
        <f t="shared" si="7"/>
        <v>1369</v>
      </c>
      <c r="R5" s="11">
        <f t="shared" si="7"/>
        <v>1406</v>
      </c>
      <c r="S5" s="10">
        <f t="shared" ref="S5:S23" si="8">0.5*$C5*I5</f>
        <v>0</v>
      </c>
      <c r="T5" s="10">
        <f t="shared" si="6"/>
        <v>0</v>
      </c>
      <c r="U5" s="10">
        <f t="shared" si="6"/>
        <v>0</v>
      </c>
      <c r="V5" s="10">
        <f t="shared" si="6"/>
        <v>0</v>
      </c>
      <c r="W5" s="10">
        <f t="shared" si="6"/>
        <v>0</v>
      </c>
      <c r="X5" s="12">
        <f>N5+S5</f>
        <v>7200</v>
      </c>
      <c r="Y5" s="12">
        <f t="shared" ref="Y4:AB19" si="9">O5+T5</f>
        <v>1260</v>
      </c>
      <c r="Z5" s="12">
        <f t="shared" si="9"/>
        <v>1295</v>
      </c>
      <c r="AA5" s="12">
        <f t="shared" si="9"/>
        <v>1369</v>
      </c>
      <c r="AB5" s="12">
        <f t="shared" si="9"/>
        <v>1406</v>
      </c>
      <c r="AD5" s="1">
        <f t="shared" ref="AD5:AD23" si="10">SUM(X5:AB5)</f>
        <v>12530</v>
      </c>
    </row>
    <row r="6" spans="1:30" x14ac:dyDescent="0.3">
      <c r="A6" t="s">
        <v>7</v>
      </c>
      <c r="B6" t="s">
        <v>27</v>
      </c>
      <c r="C6" s="1">
        <v>175</v>
      </c>
      <c r="D6" s="8">
        <v>39</v>
      </c>
      <c r="E6" s="8">
        <v>45</v>
      </c>
      <c r="F6" s="8">
        <v>42</v>
      </c>
      <c r="G6" s="8">
        <v>41</v>
      </c>
      <c r="H6" s="8">
        <v>42</v>
      </c>
      <c r="I6" s="9">
        <f>IF(D6&gt;40,D6-40,0)</f>
        <v>0</v>
      </c>
      <c r="J6" s="9">
        <f>IF(E6&gt;40,E6-40,0)</f>
        <v>5</v>
      </c>
      <c r="K6" s="9">
        <f t="shared" si="4"/>
        <v>2</v>
      </c>
      <c r="L6" s="9">
        <f t="shared" si="4"/>
        <v>1</v>
      </c>
      <c r="M6" s="9">
        <f t="shared" si="4"/>
        <v>2</v>
      </c>
      <c r="N6" s="11">
        <f>C6*D6</f>
        <v>6825</v>
      </c>
      <c r="O6" s="11">
        <f>D6*E6</f>
        <v>1755</v>
      </c>
      <c r="P6" s="11">
        <f t="shared" si="7"/>
        <v>1890</v>
      </c>
      <c r="Q6" s="11">
        <f t="shared" si="7"/>
        <v>1722</v>
      </c>
      <c r="R6" s="11">
        <f t="shared" si="7"/>
        <v>1722</v>
      </c>
      <c r="S6" s="10">
        <f t="shared" si="8"/>
        <v>0</v>
      </c>
      <c r="T6" s="10">
        <f>0.5*$C6*J6</f>
        <v>437.5</v>
      </c>
      <c r="U6" s="10">
        <f t="shared" si="6"/>
        <v>175</v>
      </c>
      <c r="V6" s="10">
        <f t="shared" si="6"/>
        <v>87.5</v>
      </c>
      <c r="W6" s="10">
        <f t="shared" si="6"/>
        <v>175</v>
      </c>
      <c r="X6" s="12">
        <f t="shared" ref="X5:X23" si="11">N6+S6</f>
        <v>6825</v>
      </c>
      <c r="Y6" s="12">
        <f t="shared" si="9"/>
        <v>2192.5</v>
      </c>
      <c r="Z6" s="12">
        <f t="shared" si="9"/>
        <v>2065</v>
      </c>
      <c r="AA6" s="12">
        <f t="shared" si="9"/>
        <v>1809.5</v>
      </c>
      <c r="AB6" s="12">
        <f t="shared" si="9"/>
        <v>1897</v>
      </c>
      <c r="AD6" s="1">
        <f t="shared" si="10"/>
        <v>14789</v>
      </c>
    </row>
    <row r="7" spans="1:30" x14ac:dyDescent="0.3">
      <c r="A7" t="s">
        <v>8</v>
      </c>
      <c r="B7" t="s">
        <v>28</v>
      </c>
      <c r="C7" s="1">
        <v>220</v>
      </c>
      <c r="D7" s="8">
        <v>42</v>
      </c>
      <c r="E7" s="8">
        <v>30</v>
      </c>
      <c r="F7" s="8">
        <v>35</v>
      </c>
      <c r="G7" s="8">
        <v>36</v>
      </c>
      <c r="H7" s="8">
        <v>36</v>
      </c>
      <c r="I7" s="9">
        <f>IF(D7&gt;40,D7-40,0)</f>
        <v>2</v>
      </c>
      <c r="J7" s="9">
        <f>IF(E7&gt;40,E7-40,0)</f>
        <v>0</v>
      </c>
      <c r="K7" s="9">
        <f t="shared" si="4"/>
        <v>0</v>
      </c>
      <c r="L7" s="9">
        <f t="shared" si="4"/>
        <v>0</v>
      </c>
      <c r="M7" s="9">
        <f t="shared" si="4"/>
        <v>0</v>
      </c>
      <c r="N7" s="11">
        <f>C7*D7</f>
        <v>9240</v>
      </c>
      <c r="O7" s="11">
        <f>D7*E7</f>
        <v>1260</v>
      </c>
      <c r="P7" s="11">
        <f t="shared" si="7"/>
        <v>1050</v>
      </c>
      <c r="Q7" s="11">
        <f t="shared" si="7"/>
        <v>1260</v>
      </c>
      <c r="R7" s="11">
        <f t="shared" si="7"/>
        <v>1296</v>
      </c>
      <c r="S7" s="10">
        <f t="shared" si="8"/>
        <v>220</v>
      </c>
      <c r="T7" s="10">
        <f t="shared" si="6"/>
        <v>0</v>
      </c>
      <c r="U7" s="10">
        <f t="shared" si="6"/>
        <v>0</v>
      </c>
      <c r="V7" s="10">
        <f t="shared" si="6"/>
        <v>0</v>
      </c>
      <c r="W7" s="10">
        <f t="shared" si="6"/>
        <v>0</v>
      </c>
      <c r="X7" s="12">
        <f t="shared" si="11"/>
        <v>9460</v>
      </c>
      <c r="Y7" s="12">
        <f t="shared" si="9"/>
        <v>1260</v>
      </c>
      <c r="Z7" s="12">
        <f t="shared" si="9"/>
        <v>1050</v>
      </c>
      <c r="AA7" s="12">
        <f t="shared" si="9"/>
        <v>1260</v>
      </c>
      <c r="AB7" s="12">
        <f t="shared" si="9"/>
        <v>1296</v>
      </c>
      <c r="AD7" s="1">
        <f t="shared" si="10"/>
        <v>14326</v>
      </c>
    </row>
    <row r="8" spans="1:30" x14ac:dyDescent="0.3">
      <c r="A8" t="s">
        <v>9</v>
      </c>
      <c r="B8" t="s">
        <v>29</v>
      </c>
      <c r="C8" s="1">
        <v>180</v>
      </c>
      <c r="D8" s="8">
        <v>35</v>
      </c>
      <c r="E8" s="8">
        <v>42</v>
      </c>
      <c r="F8" s="8">
        <v>45</v>
      </c>
      <c r="G8" s="8">
        <v>43</v>
      </c>
      <c r="H8" s="8">
        <v>41</v>
      </c>
      <c r="I8" s="9">
        <f>IF(D8&gt;40,D8-40,0)</f>
        <v>0</v>
      </c>
      <c r="J8" s="9">
        <f>IF(E8&gt;40,E8-40,0)</f>
        <v>2</v>
      </c>
      <c r="K8" s="9">
        <f t="shared" si="4"/>
        <v>5</v>
      </c>
      <c r="L8" s="9">
        <f t="shared" si="4"/>
        <v>3</v>
      </c>
      <c r="M8" s="9">
        <f t="shared" si="4"/>
        <v>1</v>
      </c>
      <c r="N8" s="11">
        <f>C8*D8</f>
        <v>6300</v>
      </c>
      <c r="O8" s="11">
        <f>D8*E8</f>
        <v>1470</v>
      </c>
      <c r="P8" s="11">
        <f t="shared" si="7"/>
        <v>1890</v>
      </c>
      <c r="Q8" s="11">
        <f t="shared" si="7"/>
        <v>1935</v>
      </c>
      <c r="R8" s="11">
        <f t="shared" si="7"/>
        <v>1763</v>
      </c>
      <c r="S8" s="10">
        <f t="shared" si="8"/>
        <v>0</v>
      </c>
      <c r="T8" s="10">
        <f t="shared" si="6"/>
        <v>180</v>
      </c>
      <c r="U8" s="10">
        <f t="shared" si="6"/>
        <v>450</v>
      </c>
      <c r="V8" s="10">
        <f t="shared" si="6"/>
        <v>270</v>
      </c>
      <c r="W8" s="10">
        <f t="shared" si="6"/>
        <v>90</v>
      </c>
      <c r="X8" s="12">
        <f t="shared" si="11"/>
        <v>6300</v>
      </c>
      <c r="Y8" s="12">
        <f t="shared" si="9"/>
        <v>1650</v>
      </c>
      <c r="Z8" s="12">
        <f t="shared" si="9"/>
        <v>2340</v>
      </c>
      <c r="AA8" s="12">
        <f t="shared" si="9"/>
        <v>2205</v>
      </c>
      <c r="AB8" s="12">
        <f t="shared" si="9"/>
        <v>1853</v>
      </c>
      <c r="AD8" s="1">
        <f t="shared" si="10"/>
        <v>14348</v>
      </c>
    </row>
    <row r="9" spans="1:30" x14ac:dyDescent="0.3">
      <c r="A9" t="s">
        <v>10</v>
      </c>
      <c r="B9" t="s">
        <v>30</v>
      </c>
      <c r="C9" s="1">
        <v>160</v>
      </c>
      <c r="D9" s="8">
        <v>41</v>
      </c>
      <c r="E9" s="8">
        <v>38</v>
      </c>
      <c r="F9" s="8">
        <v>38</v>
      </c>
      <c r="G9" s="8">
        <v>38</v>
      </c>
      <c r="H9" s="8">
        <v>37</v>
      </c>
      <c r="I9" s="9">
        <f>IF(D9&gt;40,D9-40,0)</f>
        <v>1</v>
      </c>
      <c r="J9" s="9">
        <f>IF(E9&gt;40,E9-40,0)</f>
        <v>0</v>
      </c>
      <c r="K9" s="9">
        <f t="shared" si="4"/>
        <v>0</v>
      </c>
      <c r="L9" s="9">
        <f t="shared" si="4"/>
        <v>0</v>
      </c>
      <c r="M9" s="9">
        <f t="shared" si="4"/>
        <v>0</v>
      </c>
      <c r="N9" s="11">
        <f>C9*D9</f>
        <v>6560</v>
      </c>
      <c r="O9" s="11">
        <f>D9*E9</f>
        <v>1558</v>
      </c>
      <c r="P9" s="11">
        <f t="shared" si="7"/>
        <v>1444</v>
      </c>
      <c r="Q9" s="11">
        <f t="shared" si="7"/>
        <v>1444</v>
      </c>
      <c r="R9" s="11">
        <f t="shared" si="7"/>
        <v>1406</v>
      </c>
      <c r="S9" s="10">
        <f t="shared" si="8"/>
        <v>80</v>
      </c>
      <c r="T9" s="10">
        <f t="shared" si="6"/>
        <v>0</v>
      </c>
      <c r="U9" s="10">
        <f t="shared" si="6"/>
        <v>0</v>
      </c>
      <c r="V9" s="10">
        <f t="shared" si="6"/>
        <v>0</v>
      </c>
      <c r="W9" s="10">
        <f t="shared" si="6"/>
        <v>0</v>
      </c>
      <c r="X9" s="12">
        <f t="shared" si="11"/>
        <v>6640</v>
      </c>
      <c r="Y9" s="12">
        <f t="shared" si="9"/>
        <v>1558</v>
      </c>
      <c r="Z9" s="12">
        <f t="shared" si="9"/>
        <v>1444</v>
      </c>
      <c r="AA9" s="12">
        <f t="shared" si="9"/>
        <v>1444</v>
      </c>
      <c r="AB9" s="12">
        <f t="shared" si="9"/>
        <v>1406</v>
      </c>
      <c r="AD9" s="1">
        <f t="shared" si="10"/>
        <v>12492</v>
      </c>
    </row>
    <row r="10" spans="1:30" x14ac:dyDescent="0.3">
      <c r="A10" t="s">
        <v>11</v>
      </c>
      <c r="B10" t="s">
        <v>31</v>
      </c>
      <c r="C10" s="1">
        <v>210</v>
      </c>
      <c r="D10" s="8">
        <v>38</v>
      </c>
      <c r="E10" s="8">
        <v>40</v>
      </c>
      <c r="F10" s="8">
        <v>36</v>
      </c>
      <c r="G10" s="8">
        <v>39</v>
      </c>
      <c r="H10" s="8">
        <v>39</v>
      </c>
      <c r="I10" s="9">
        <f>IF(D10&gt;40,D10-40,0)</f>
        <v>0</v>
      </c>
      <c r="J10" s="9">
        <f>IF(E10&gt;40,E10-40,0)</f>
        <v>0</v>
      </c>
      <c r="K10" s="9">
        <f t="shared" si="4"/>
        <v>0</v>
      </c>
      <c r="L10" s="9">
        <f t="shared" si="4"/>
        <v>0</v>
      </c>
      <c r="M10" s="9">
        <f t="shared" si="4"/>
        <v>0</v>
      </c>
      <c r="N10" s="11">
        <f>C10*D10</f>
        <v>7980</v>
      </c>
      <c r="O10" s="11">
        <f>D10*E10</f>
        <v>1520</v>
      </c>
      <c r="P10" s="11">
        <f t="shared" si="7"/>
        <v>1440</v>
      </c>
      <c r="Q10" s="11">
        <f t="shared" si="7"/>
        <v>1404</v>
      </c>
      <c r="R10" s="11">
        <f t="shared" si="7"/>
        <v>1521</v>
      </c>
      <c r="S10" s="10">
        <f t="shared" si="8"/>
        <v>0</v>
      </c>
      <c r="T10" s="10">
        <f t="shared" si="6"/>
        <v>0</v>
      </c>
      <c r="U10" s="10">
        <f t="shared" si="6"/>
        <v>0</v>
      </c>
      <c r="V10" s="10">
        <f t="shared" si="6"/>
        <v>0</v>
      </c>
      <c r="W10" s="10">
        <f t="shared" si="6"/>
        <v>0</v>
      </c>
      <c r="X10" s="12">
        <f t="shared" si="11"/>
        <v>7980</v>
      </c>
      <c r="Y10" s="12">
        <f t="shared" si="9"/>
        <v>1520</v>
      </c>
      <c r="Z10" s="12">
        <f t="shared" si="9"/>
        <v>1440</v>
      </c>
      <c r="AA10" s="12">
        <f t="shared" si="9"/>
        <v>1404</v>
      </c>
      <c r="AB10" s="12">
        <f t="shared" si="9"/>
        <v>1521</v>
      </c>
      <c r="AD10" s="1">
        <f t="shared" si="10"/>
        <v>13865</v>
      </c>
    </row>
    <row r="11" spans="1:30" x14ac:dyDescent="0.3">
      <c r="A11" t="s">
        <v>12</v>
      </c>
      <c r="B11" t="s">
        <v>32</v>
      </c>
      <c r="C11" s="1">
        <v>190</v>
      </c>
      <c r="D11" s="8">
        <v>37</v>
      </c>
      <c r="E11" s="8">
        <v>36</v>
      </c>
      <c r="F11" s="8">
        <v>44</v>
      </c>
      <c r="G11" s="8">
        <v>42</v>
      </c>
      <c r="H11" s="8">
        <v>43</v>
      </c>
      <c r="I11" s="9">
        <f>IF(D11&gt;40,D11-40,0)</f>
        <v>0</v>
      </c>
      <c r="J11" s="9">
        <f>IF(E11&gt;40,E11-40,0)</f>
        <v>0</v>
      </c>
      <c r="K11" s="9">
        <f t="shared" si="4"/>
        <v>4</v>
      </c>
      <c r="L11" s="9">
        <f t="shared" si="4"/>
        <v>2</v>
      </c>
      <c r="M11" s="9">
        <f t="shared" si="4"/>
        <v>3</v>
      </c>
      <c r="N11" s="11">
        <f>C11*D11</f>
        <v>7030</v>
      </c>
      <c r="O11" s="11">
        <f>D11*E11</f>
        <v>1332</v>
      </c>
      <c r="P11" s="11">
        <f t="shared" si="7"/>
        <v>1584</v>
      </c>
      <c r="Q11" s="11">
        <f t="shared" si="7"/>
        <v>1848</v>
      </c>
      <c r="R11" s="11">
        <f t="shared" si="7"/>
        <v>1806</v>
      </c>
      <c r="S11" s="10">
        <f t="shared" si="8"/>
        <v>0</v>
      </c>
      <c r="T11" s="10">
        <f t="shared" si="6"/>
        <v>0</v>
      </c>
      <c r="U11" s="10">
        <f t="shared" si="6"/>
        <v>380</v>
      </c>
      <c r="V11" s="10">
        <f t="shared" si="6"/>
        <v>190</v>
      </c>
      <c r="W11" s="10">
        <f t="shared" si="6"/>
        <v>285</v>
      </c>
      <c r="X11" s="12">
        <f t="shared" si="11"/>
        <v>7030</v>
      </c>
      <c r="Y11" s="12">
        <f t="shared" si="9"/>
        <v>1332</v>
      </c>
      <c r="Z11" s="12">
        <f t="shared" si="9"/>
        <v>1964</v>
      </c>
      <c r="AA11" s="12">
        <f t="shared" si="9"/>
        <v>2038</v>
      </c>
      <c r="AB11" s="12">
        <f t="shared" si="9"/>
        <v>2091</v>
      </c>
      <c r="AD11" s="1">
        <f t="shared" si="10"/>
        <v>14455</v>
      </c>
    </row>
    <row r="12" spans="1:30" x14ac:dyDescent="0.3">
      <c r="A12" t="s">
        <v>13</v>
      </c>
      <c r="B12" t="s">
        <v>33</v>
      </c>
      <c r="C12" s="1">
        <v>230</v>
      </c>
      <c r="D12" s="8">
        <v>44</v>
      </c>
      <c r="E12" s="8">
        <v>44</v>
      </c>
      <c r="F12" s="8">
        <v>39</v>
      </c>
      <c r="G12" s="8">
        <v>35</v>
      </c>
      <c r="H12" s="8">
        <v>35</v>
      </c>
      <c r="I12" s="9">
        <f>IF(D12&gt;40,D12-40,0)</f>
        <v>4</v>
      </c>
      <c r="J12" s="9">
        <f>IF(E12&gt;40,E12-40,0)</f>
        <v>4</v>
      </c>
      <c r="K12" s="9">
        <f t="shared" si="4"/>
        <v>0</v>
      </c>
      <c r="L12" s="9">
        <f t="shared" si="4"/>
        <v>0</v>
      </c>
      <c r="M12" s="9">
        <f t="shared" si="4"/>
        <v>0</v>
      </c>
      <c r="N12" s="11">
        <f>C12*D12</f>
        <v>10120</v>
      </c>
      <c r="O12" s="11">
        <f>D12*E12</f>
        <v>1936</v>
      </c>
      <c r="P12" s="11">
        <f t="shared" si="7"/>
        <v>1716</v>
      </c>
      <c r="Q12" s="11">
        <f t="shared" si="7"/>
        <v>1365</v>
      </c>
      <c r="R12" s="11">
        <f t="shared" si="7"/>
        <v>1225</v>
      </c>
      <c r="S12" s="10">
        <f t="shared" si="8"/>
        <v>460</v>
      </c>
      <c r="T12" s="10">
        <f t="shared" si="6"/>
        <v>460</v>
      </c>
      <c r="U12" s="10">
        <f t="shared" si="6"/>
        <v>0</v>
      </c>
      <c r="V12" s="10">
        <f t="shared" si="6"/>
        <v>0</v>
      </c>
      <c r="W12" s="10">
        <f t="shared" si="6"/>
        <v>0</v>
      </c>
      <c r="X12" s="12">
        <f t="shared" si="11"/>
        <v>10580</v>
      </c>
      <c r="Y12" s="12">
        <f t="shared" si="9"/>
        <v>2396</v>
      </c>
      <c r="Z12" s="12">
        <f t="shared" si="9"/>
        <v>1716</v>
      </c>
      <c r="AA12" s="12">
        <f t="shared" si="9"/>
        <v>1365</v>
      </c>
      <c r="AB12" s="12">
        <f t="shared" si="9"/>
        <v>1225</v>
      </c>
      <c r="AD12" s="1">
        <f t="shared" si="10"/>
        <v>17282</v>
      </c>
    </row>
    <row r="13" spans="1:30" x14ac:dyDescent="0.3">
      <c r="A13" t="s">
        <v>14</v>
      </c>
      <c r="B13" t="s">
        <v>34</v>
      </c>
      <c r="C13" s="1">
        <v>170</v>
      </c>
      <c r="D13" s="8">
        <v>33</v>
      </c>
      <c r="E13" s="8">
        <v>32</v>
      </c>
      <c r="F13" s="8">
        <v>41</v>
      </c>
      <c r="G13" s="8">
        <v>44</v>
      </c>
      <c r="H13" s="8">
        <v>40</v>
      </c>
      <c r="I13" s="9">
        <f>IF(D13&gt;40,D13-40,0)</f>
        <v>0</v>
      </c>
      <c r="J13" s="9">
        <f>IF(E13&gt;40,E13-40,0)</f>
        <v>0</v>
      </c>
      <c r="K13" s="9">
        <f t="shared" si="4"/>
        <v>1</v>
      </c>
      <c r="L13" s="9">
        <f t="shared" si="4"/>
        <v>4</v>
      </c>
      <c r="M13" s="9">
        <f t="shared" si="4"/>
        <v>0</v>
      </c>
      <c r="N13" s="11">
        <f>C13*D13</f>
        <v>5610</v>
      </c>
      <c r="O13" s="11">
        <f>D13*E13</f>
        <v>1056</v>
      </c>
      <c r="P13" s="11">
        <f t="shared" si="7"/>
        <v>1312</v>
      </c>
      <c r="Q13" s="11">
        <f t="shared" si="7"/>
        <v>1804</v>
      </c>
      <c r="R13" s="11">
        <f t="shared" si="7"/>
        <v>1760</v>
      </c>
      <c r="S13" s="10">
        <f t="shared" si="8"/>
        <v>0</v>
      </c>
      <c r="T13" s="10">
        <f t="shared" si="6"/>
        <v>0</v>
      </c>
      <c r="U13" s="10">
        <f t="shared" si="6"/>
        <v>85</v>
      </c>
      <c r="V13" s="10">
        <f t="shared" si="6"/>
        <v>340</v>
      </c>
      <c r="W13" s="10">
        <f t="shared" si="6"/>
        <v>0</v>
      </c>
      <c r="X13" s="12">
        <f t="shared" si="11"/>
        <v>5610</v>
      </c>
      <c r="Y13" s="12">
        <f t="shared" si="9"/>
        <v>1056</v>
      </c>
      <c r="Z13" s="12">
        <f t="shared" si="9"/>
        <v>1397</v>
      </c>
      <c r="AA13" s="12">
        <f t="shared" si="9"/>
        <v>2144</v>
      </c>
      <c r="AB13" s="12">
        <f t="shared" si="9"/>
        <v>1760</v>
      </c>
      <c r="AD13" s="1">
        <f t="shared" si="10"/>
        <v>11967</v>
      </c>
    </row>
    <row r="14" spans="1:30" x14ac:dyDescent="0.3">
      <c r="A14" t="s">
        <v>15</v>
      </c>
      <c r="B14" t="s">
        <v>35</v>
      </c>
      <c r="C14" s="1">
        <v>200</v>
      </c>
      <c r="D14" s="8">
        <v>40</v>
      </c>
      <c r="E14" s="8">
        <v>39</v>
      </c>
      <c r="F14" s="8">
        <v>33</v>
      </c>
      <c r="G14" s="8">
        <v>36</v>
      </c>
      <c r="H14" s="8">
        <v>36</v>
      </c>
      <c r="I14" s="9">
        <f>IF(D14&gt;40,D14-40,0)</f>
        <v>0</v>
      </c>
      <c r="J14" s="9">
        <f>IF(E14&gt;40,E14-40,0)</f>
        <v>0</v>
      </c>
      <c r="K14" s="9">
        <f t="shared" si="4"/>
        <v>0</v>
      </c>
      <c r="L14" s="9">
        <f t="shared" si="4"/>
        <v>0</v>
      </c>
      <c r="M14" s="9">
        <f t="shared" si="4"/>
        <v>0</v>
      </c>
      <c r="N14" s="11">
        <f>C14*D14</f>
        <v>8000</v>
      </c>
      <c r="O14" s="11">
        <f>D14*E14</f>
        <v>1560</v>
      </c>
      <c r="P14" s="11">
        <f t="shared" si="7"/>
        <v>1287</v>
      </c>
      <c r="Q14" s="11">
        <f t="shared" si="7"/>
        <v>1188</v>
      </c>
      <c r="R14" s="11">
        <f t="shared" si="7"/>
        <v>1296</v>
      </c>
      <c r="S14" s="10">
        <f t="shared" si="8"/>
        <v>0</v>
      </c>
      <c r="T14" s="10">
        <f t="shared" si="6"/>
        <v>0</v>
      </c>
      <c r="U14" s="10">
        <f t="shared" si="6"/>
        <v>0</v>
      </c>
      <c r="V14" s="10">
        <f t="shared" si="6"/>
        <v>0</v>
      </c>
      <c r="W14" s="10">
        <f t="shared" si="6"/>
        <v>0</v>
      </c>
      <c r="X14" s="12">
        <f t="shared" si="11"/>
        <v>8000</v>
      </c>
      <c r="Y14" s="12">
        <f t="shared" si="9"/>
        <v>1560</v>
      </c>
      <c r="Z14" s="12">
        <f t="shared" si="9"/>
        <v>1287</v>
      </c>
      <c r="AA14" s="12">
        <f t="shared" si="9"/>
        <v>1188</v>
      </c>
      <c r="AB14" s="12">
        <f t="shared" si="9"/>
        <v>1296</v>
      </c>
      <c r="AD14" s="1">
        <f t="shared" si="10"/>
        <v>13331</v>
      </c>
    </row>
    <row r="15" spans="1:30" x14ac:dyDescent="0.3">
      <c r="A15" t="s">
        <v>16</v>
      </c>
      <c r="B15" t="s">
        <v>36</v>
      </c>
      <c r="C15" s="1">
        <v>185</v>
      </c>
      <c r="D15" s="8">
        <v>39</v>
      </c>
      <c r="E15" s="8">
        <v>41</v>
      </c>
      <c r="F15" s="8">
        <v>40</v>
      </c>
      <c r="G15" s="8">
        <v>40</v>
      </c>
      <c r="H15" s="8">
        <v>42</v>
      </c>
      <c r="I15" s="9">
        <f>IF(D15&gt;40,D15-40,0)</f>
        <v>0</v>
      </c>
      <c r="J15" s="9">
        <f>IF(E15&gt;40,E15-40,0)</f>
        <v>1</v>
      </c>
      <c r="K15" s="9">
        <f t="shared" si="4"/>
        <v>0</v>
      </c>
      <c r="L15" s="9">
        <f t="shared" si="4"/>
        <v>0</v>
      </c>
      <c r="M15" s="9">
        <f t="shared" si="4"/>
        <v>2</v>
      </c>
      <c r="N15" s="11">
        <f>C15*D15</f>
        <v>7215</v>
      </c>
      <c r="O15" s="11">
        <f>D15*E15</f>
        <v>1599</v>
      </c>
      <c r="P15" s="11">
        <f t="shared" si="7"/>
        <v>1640</v>
      </c>
      <c r="Q15" s="11">
        <f t="shared" si="7"/>
        <v>1600</v>
      </c>
      <c r="R15" s="11">
        <f t="shared" si="7"/>
        <v>1680</v>
      </c>
      <c r="S15" s="10">
        <f t="shared" si="8"/>
        <v>0</v>
      </c>
      <c r="T15" s="10">
        <f t="shared" si="6"/>
        <v>92.5</v>
      </c>
      <c r="U15" s="10">
        <f t="shared" si="6"/>
        <v>0</v>
      </c>
      <c r="V15" s="10">
        <f t="shared" si="6"/>
        <v>0</v>
      </c>
      <c r="W15" s="10">
        <f t="shared" si="6"/>
        <v>185</v>
      </c>
      <c r="X15" s="12">
        <f t="shared" si="11"/>
        <v>7215</v>
      </c>
      <c r="Y15" s="12">
        <f t="shared" si="9"/>
        <v>1691.5</v>
      </c>
      <c r="Z15" s="12">
        <f t="shared" si="9"/>
        <v>1640</v>
      </c>
      <c r="AA15" s="12">
        <f t="shared" si="9"/>
        <v>1600</v>
      </c>
      <c r="AB15" s="12">
        <f t="shared" si="9"/>
        <v>1865</v>
      </c>
      <c r="AD15" s="1">
        <f t="shared" si="10"/>
        <v>14011.5</v>
      </c>
    </row>
    <row r="16" spans="1:30" x14ac:dyDescent="0.3">
      <c r="A16" t="s">
        <v>17</v>
      </c>
      <c r="B16" t="s">
        <v>37</v>
      </c>
      <c r="C16" s="1">
        <v>195</v>
      </c>
      <c r="D16" s="8">
        <v>36</v>
      </c>
      <c r="E16" s="8">
        <v>37</v>
      </c>
      <c r="F16" s="8">
        <v>37</v>
      </c>
      <c r="G16" s="8">
        <v>37</v>
      </c>
      <c r="H16" s="8">
        <v>38</v>
      </c>
      <c r="I16" s="9">
        <f>IF(D16&gt;40,D16-40,0)</f>
        <v>0</v>
      </c>
      <c r="J16" s="9">
        <f>IF(E16&gt;40,E16-40,0)</f>
        <v>0</v>
      </c>
      <c r="K16" s="9">
        <f t="shared" si="4"/>
        <v>0</v>
      </c>
      <c r="L16" s="9">
        <f t="shared" si="4"/>
        <v>0</v>
      </c>
      <c r="M16" s="9">
        <f t="shared" si="4"/>
        <v>0</v>
      </c>
      <c r="N16" s="11">
        <f>C16*D16</f>
        <v>7020</v>
      </c>
      <c r="O16" s="11">
        <f>D16*E16</f>
        <v>1332</v>
      </c>
      <c r="P16" s="11">
        <f t="shared" si="7"/>
        <v>1369</v>
      </c>
      <c r="Q16" s="11">
        <f t="shared" si="7"/>
        <v>1369</v>
      </c>
      <c r="R16" s="11">
        <f t="shared" si="7"/>
        <v>1406</v>
      </c>
      <c r="S16" s="10">
        <f t="shared" si="8"/>
        <v>0</v>
      </c>
      <c r="T16" s="10">
        <f t="shared" si="6"/>
        <v>0</v>
      </c>
      <c r="U16" s="10">
        <f t="shared" si="6"/>
        <v>0</v>
      </c>
      <c r="V16" s="10">
        <f t="shared" si="6"/>
        <v>0</v>
      </c>
      <c r="W16" s="10">
        <f t="shared" si="6"/>
        <v>0</v>
      </c>
      <c r="X16" s="12">
        <f t="shared" si="11"/>
        <v>7020</v>
      </c>
      <c r="Y16" s="12">
        <f t="shared" si="9"/>
        <v>1332</v>
      </c>
      <c r="Z16" s="12">
        <f t="shared" si="9"/>
        <v>1369</v>
      </c>
      <c r="AA16" s="12">
        <f t="shared" si="9"/>
        <v>1369</v>
      </c>
      <c r="AB16" s="12">
        <f t="shared" si="9"/>
        <v>1406</v>
      </c>
      <c r="AD16" s="1">
        <f t="shared" si="10"/>
        <v>12496</v>
      </c>
    </row>
    <row r="17" spans="1:30" x14ac:dyDescent="0.3">
      <c r="A17" t="s">
        <v>18</v>
      </c>
      <c r="B17" t="s">
        <v>38</v>
      </c>
      <c r="C17" s="1">
        <v>205</v>
      </c>
      <c r="D17" s="8">
        <v>43</v>
      </c>
      <c r="E17" s="8">
        <v>43</v>
      </c>
      <c r="F17" s="8">
        <v>43</v>
      </c>
      <c r="G17" s="8">
        <v>41</v>
      </c>
      <c r="H17" s="8">
        <v>39</v>
      </c>
      <c r="I17" s="9">
        <f>IF(D17&gt;40,D17-40,0)</f>
        <v>3</v>
      </c>
      <c r="J17" s="9">
        <f>IF(E17&gt;40,E17-40,0)</f>
        <v>3</v>
      </c>
      <c r="K17" s="9">
        <f t="shared" si="4"/>
        <v>3</v>
      </c>
      <c r="L17" s="9">
        <f t="shared" si="4"/>
        <v>1</v>
      </c>
      <c r="M17" s="9">
        <f t="shared" si="4"/>
        <v>0</v>
      </c>
      <c r="N17" s="11">
        <f>C17*D17</f>
        <v>8815</v>
      </c>
      <c r="O17" s="11">
        <f>D17*E17</f>
        <v>1849</v>
      </c>
      <c r="P17" s="11">
        <f t="shared" si="7"/>
        <v>1849</v>
      </c>
      <c r="Q17" s="11">
        <f t="shared" si="7"/>
        <v>1763</v>
      </c>
      <c r="R17" s="11">
        <f t="shared" si="7"/>
        <v>1599</v>
      </c>
      <c r="S17" s="10">
        <f t="shared" si="8"/>
        <v>307.5</v>
      </c>
      <c r="T17" s="10">
        <f t="shared" si="6"/>
        <v>307.5</v>
      </c>
      <c r="U17" s="10">
        <f t="shared" si="6"/>
        <v>307.5</v>
      </c>
      <c r="V17" s="10">
        <f t="shared" si="6"/>
        <v>102.5</v>
      </c>
      <c r="W17" s="10">
        <f t="shared" si="6"/>
        <v>0</v>
      </c>
      <c r="X17" s="12">
        <f t="shared" si="11"/>
        <v>9122.5</v>
      </c>
      <c r="Y17" s="12">
        <f t="shared" si="9"/>
        <v>2156.5</v>
      </c>
      <c r="Z17" s="12">
        <f t="shared" si="9"/>
        <v>2156.5</v>
      </c>
      <c r="AA17" s="12">
        <f t="shared" si="9"/>
        <v>1865.5</v>
      </c>
      <c r="AB17" s="12">
        <f t="shared" si="9"/>
        <v>1599</v>
      </c>
      <c r="AD17" s="1">
        <f t="shared" si="10"/>
        <v>16900</v>
      </c>
    </row>
    <row r="18" spans="1:30" x14ac:dyDescent="0.3">
      <c r="A18" t="s">
        <v>19</v>
      </c>
      <c r="B18" t="s">
        <v>39</v>
      </c>
      <c r="C18" s="1">
        <v>175</v>
      </c>
      <c r="D18" s="8">
        <v>34</v>
      </c>
      <c r="E18" s="8">
        <v>34</v>
      </c>
      <c r="F18" s="8">
        <v>34</v>
      </c>
      <c r="G18" s="8">
        <v>34</v>
      </c>
      <c r="H18" s="8">
        <v>34</v>
      </c>
      <c r="I18" s="9">
        <f>IF(D18&gt;40,D18-40,0)</f>
        <v>0</v>
      </c>
      <c r="J18" s="9">
        <f>IF(E18&gt;40,E18-40,0)</f>
        <v>0</v>
      </c>
      <c r="K18" s="9">
        <f t="shared" si="4"/>
        <v>0</v>
      </c>
      <c r="L18" s="9">
        <f t="shared" si="4"/>
        <v>0</v>
      </c>
      <c r="M18" s="9">
        <f t="shared" si="4"/>
        <v>0</v>
      </c>
      <c r="N18" s="11">
        <f>C18*D18</f>
        <v>5950</v>
      </c>
      <c r="O18" s="11">
        <f>D18*E18</f>
        <v>1156</v>
      </c>
      <c r="P18" s="11">
        <f t="shared" si="7"/>
        <v>1156</v>
      </c>
      <c r="Q18" s="11">
        <f t="shared" si="7"/>
        <v>1156</v>
      </c>
      <c r="R18" s="11">
        <f t="shared" si="7"/>
        <v>1156</v>
      </c>
      <c r="S18" s="10">
        <f t="shared" si="8"/>
        <v>0</v>
      </c>
      <c r="T18" s="10">
        <f t="shared" si="6"/>
        <v>0</v>
      </c>
      <c r="U18" s="10">
        <f t="shared" si="6"/>
        <v>0</v>
      </c>
      <c r="V18" s="10">
        <f t="shared" si="6"/>
        <v>0</v>
      </c>
      <c r="W18" s="10">
        <f t="shared" si="6"/>
        <v>0</v>
      </c>
      <c r="X18" s="12">
        <f t="shared" si="11"/>
        <v>5950</v>
      </c>
      <c r="Y18" s="12">
        <f t="shared" si="9"/>
        <v>1156</v>
      </c>
      <c r="Z18" s="12">
        <f t="shared" si="9"/>
        <v>1156</v>
      </c>
      <c r="AA18" s="12">
        <f t="shared" si="9"/>
        <v>1156</v>
      </c>
      <c r="AB18" s="12">
        <f t="shared" si="9"/>
        <v>1156</v>
      </c>
      <c r="AD18" s="1">
        <f t="shared" si="10"/>
        <v>10574</v>
      </c>
    </row>
    <row r="19" spans="1:30" x14ac:dyDescent="0.3">
      <c r="A19" t="s">
        <v>20</v>
      </c>
      <c r="B19" t="s">
        <v>40</v>
      </c>
      <c r="C19" s="1">
        <v>215</v>
      </c>
      <c r="D19" s="8">
        <v>38</v>
      </c>
      <c r="E19" s="8">
        <v>40</v>
      </c>
      <c r="F19" s="8">
        <v>39</v>
      </c>
      <c r="G19" s="8">
        <v>39</v>
      </c>
      <c r="H19" s="8">
        <v>41</v>
      </c>
      <c r="I19" s="9">
        <f>IF(D19&gt;40,D19-40,0)</f>
        <v>0</v>
      </c>
      <c r="J19" s="9">
        <f>IF(E19&gt;40,E19-40,0)</f>
        <v>0</v>
      </c>
      <c r="K19" s="9">
        <f t="shared" si="4"/>
        <v>0</v>
      </c>
      <c r="L19" s="9">
        <f t="shared" si="4"/>
        <v>0</v>
      </c>
      <c r="M19" s="9">
        <f t="shared" si="4"/>
        <v>1</v>
      </c>
      <c r="N19" s="11">
        <f>C19*D19</f>
        <v>8170</v>
      </c>
      <c r="O19" s="11">
        <f>D19*E19</f>
        <v>1520</v>
      </c>
      <c r="P19" s="11">
        <f t="shared" si="7"/>
        <v>1560</v>
      </c>
      <c r="Q19" s="11">
        <f t="shared" si="7"/>
        <v>1521</v>
      </c>
      <c r="R19" s="11">
        <f t="shared" si="7"/>
        <v>1599</v>
      </c>
      <c r="S19" s="10">
        <f t="shared" si="8"/>
        <v>0</v>
      </c>
      <c r="T19" s="10">
        <f t="shared" si="6"/>
        <v>0</v>
      </c>
      <c r="U19" s="10">
        <f t="shared" si="6"/>
        <v>0</v>
      </c>
      <c r="V19" s="10">
        <f t="shared" si="6"/>
        <v>0</v>
      </c>
      <c r="W19" s="10">
        <f t="shared" si="6"/>
        <v>107.5</v>
      </c>
      <c r="X19" s="12">
        <f t="shared" si="11"/>
        <v>8170</v>
      </c>
      <c r="Y19" s="12">
        <f t="shared" si="9"/>
        <v>1520</v>
      </c>
      <c r="Z19" s="12">
        <f t="shared" si="9"/>
        <v>1560</v>
      </c>
      <c r="AA19" s="12">
        <f t="shared" si="9"/>
        <v>1521</v>
      </c>
      <c r="AB19" s="12">
        <f t="shared" si="9"/>
        <v>1706.5</v>
      </c>
      <c r="AD19" s="1">
        <f t="shared" si="10"/>
        <v>14477.5</v>
      </c>
    </row>
    <row r="20" spans="1:30" x14ac:dyDescent="0.3">
      <c r="A20" t="s">
        <v>21</v>
      </c>
      <c r="B20" t="s">
        <v>41</v>
      </c>
      <c r="C20" s="1">
        <v>180</v>
      </c>
      <c r="D20" s="8">
        <v>37</v>
      </c>
      <c r="E20" s="8">
        <v>36</v>
      </c>
      <c r="F20" s="8">
        <v>38</v>
      </c>
      <c r="G20" s="8">
        <v>38</v>
      </c>
      <c r="H20" s="8">
        <v>37</v>
      </c>
      <c r="I20" s="9">
        <f>IF(D20&gt;40,D20-40,0)</f>
        <v>0</v>
      </c>
      <c r="J20" s="9">
        <f>IF(E20&gt;40,E20-40,0)</f>
        <v>0</v>
      </c>
      <c r="K20" s="9">
        <f t="shared" ref="K20:M23" si="12">IF(F20&gt;40,F20-40,0)</f>
        <v>0</v>
      </c>
      <c r="L20" s="9">
        <f t="shared" si="12"/>
        <v>0</v>
      </c>
      <c r="M20" s="9">
        <f t="shared" si="12"/>
        <v>0</v>
      </c>
      <c r="N20" s="11">
        <f>C20*D20</f>
        <v>6660</v>
      </c>
      <c r="O20" s="11">
        <f>D20*E20</f>
        <v>1332</v>
      </c>
      <c r="P20" s="11">
        <f t="shared" si="7"/>
        <v>1368</v>
      </c>
      <c r="Q20" s="11">
        <f t="shared" si="7"/>
        <v>1444</v>
      </c>
      <c r="R20" s="11">
        <f t="shared" si="7"/>
        <v>1406</v>
      </c>
      <c r="S20" s="10">
        <f t="shared" si="8"/>
        <v>0</v>
      </c>
      <c r="T20" s="10">
        <f t="shared" ref="T20:T23" si="13">0.5*$C20*J20</f>
        <v>0</v>
      </c>
      <c r="U20" s="10">
        <f t="shared" ref="U20:U23" si="14">0.5*$C20*K20</f>
        <v>0</v>
      </c>
      <c r="V20" s="10">
        <f t="shared" ref="V20:V23" si="15">0.5*$C20*L20</f>
        <v>0</v>
      </c>
      <c r="W20" s="10">
        <f t="shared" ref="W20:W23" si="16">0.5*$C20*M20</f>
        <v>0</v>
      </c>
      <c r="X20" s="12">
        <f t="shared" si="11"/>
        <v>6660</v>
      </c>
      <c r="Y20" s="12">
        <f t="shared" ref="Y20:Y23" si="17">O20+T20</f>
        <v>1332</v>
      </c>
      <c r="Z20" s="12">
        <f t="shared" ref="Z20:Z23" si="18">P20+U20</f>
        <v>1368</v>
      </c>
      <c r="AA20" s="12">
        <f t="shared" ref="AA20:AA23" si="19">Q20+V20</f>
        <v>1444</v>
      </c>
      <c r="AB20" s="12">
        <f t="shared" ref="AB20:AB23" si="20">R20+W20</f>
        <v>1406</v>
      </c>
      <c r="AD20" s="1">
        <f t="shared" si="10"/>
        <v>12210</v>
      </c>
    </row>
    <row r="21" spans="1:30" x14ac:dyDescent="0.3">
      <c r="A21" t="s">
        <v>22</v>
      </c>
      <c r="B21" t="s">
        <v>42</v>
      </c>
      <c r="C21" s="1">
        <v>225</v>
      </c>
      <c r="D21" s="8">
        <v>42</v>
      </c>
      <c r="E21" s="8">
        <v>45</v>
      </c>
      <c r="F21" s="8">
        <v>42</v>
      </c>
      <c r="G21" s="8">
        <v>42</v>
      </c>
      <c r="H21" s="8">
        <v>40</v>
      </c>
      <c r="I21" s="9">
        <f>IF(D21&gt;40,D21-40,0)</f>
        <v>2</v>
      </c>
      <c r="J21" s="9">
        <f>IF(E21&gt;40,E21-40,0)</f>
        <v>5</v>
      </c>
      <c r="K21" s="9">
        <f t="shared" si="12"/>
        <v>2</v>
      </c>
      <c r="L21" s="9">
        <f t="shared" si="12"/>
        <v>2</v>
      </c>
      <c r="M21" s="9">
        <f t="shared" si="12"/>
        <v>0</v>
      </c>
      <c r="N21" s="11">
        <f>C21*D21</f>
        <v>9450</v>
      </c>
      <c r="O21" s="11">
        <f>D21*E21</f>
        <v>1890</v>
      </c>
      <c r="P21" s="11">
        <f t="shared" ref="P21:R23" si="21">E21*F21</f>
        <v>1890</v>
      </c>
      <c r="Q21" s="11">
        <f t="shared" si="21"/>
        <v>1764</v>
      </c>
      <c r="R21" s="11">
        <f t="shared" si="21"/>
        <v>1680</v>
      </c>
      <c r="S21" s="10">
        <f t="shared" si="8"/>
        <v>225</v>
      </c>
      <c r="T21" s="10">
        <f t="shared" si="13"/>
        <v>562.5</v>
      </c>
      <c r="U21" s="10">
        <f t="shared" si="14"/>
        <v>225</v>
      </c>
      <c r="V21" s="10">
        <f t="shared" si="15"/>
        <v>225</v>
      </c>
      <c r="W21" s="10">
        <f t="shared" si="16"/>
        <v>0</v>
      </c>
      <c r="X21" s="12">
        <f t="shared" si="11"/>
        <v>9675</v>
      </c>
      <c r="Y21" s="12">
        <f t="shared" si="17"/>
        <v>2452.5</v>
      </c>
      <c r="Z21" s="12">
        <f t="shared" si="18"/>
        <v>2115</v>
      </c>
      <c r="AA21" s="12">
        <f t="shared" si="19"/>
        <v>1989</v>
      </c>
      <c r="AB21" s="12">
        <f t="shared" si="20"/>
        <v>1680</v>
      </c>
      <c r="AD21" s="1">
        <f t="shared" si="10"/>
        <v>17911.5</v>
      </c>
    </row>
    <row r="22" spans="1:30" x14ac:dyDescent="0.3">
      <c r="A22" t="s">
        <v>23</v>
      </c>
      <c r="B22" t="s">
        <v>43</v>
      </c>
      <c r="C22" s="1">
        <v>190</v>
      </c>
      <c r="D22" s="8">
        <v>35</v>
      </c>
      <c r="E22" s="8">
        <v>38</v>
      </c>
      <c r="F22" s="8">
        <v>36</v>
      </c>
      <c r="G22" s="8">
        <v>36</v>
      </c>
      <c r="H22" s="8">
        <v>36</v>
      </c>
      <c r="I22" s="9">
        <f>IF(D22&gt;40,D22-40,0)</f>
        <v>0</v>
      </c>
      <c r="J22" s="9">
        <f>IF(E22&gt;40,E22-40,0)</f>
        <v>0</v>
      </c>
      <c r="K22" s="9">
        <f t="shared" si="12"/>
        <v>0</v>
      </c>
      <c r="L22" s="9">
        <f t="shared" si="12"/>
        <v>0</v>
      </c>
      <c r="M22" s="9">
        <f t="shared" si="12"/>
        <v>0</v>
      </c>
      <c r="N22" s="11">
        <f>C22*D22</f>
        <v>6650</v>
      </c>
      <c r="O22" s="11">
        <f>D22*E22</f>
        <v>1330</v>
      </c>
      <c r="P22" s="11">
        <f t="shared" si="21"/>
        <v>1368</v>
      </c>
      <c r="Q22" s="11">
        <f t="shared" si="21"/>
        <v>1296</v>
      </c>
      <c r="R22" s="11">
        <f t="shared" si="21"/>
        <v>1296</v>
      </c>
      <c r="S22" s="10">
        <f t="shared" si="8"/>
        <v>0</v>
      </c>
      <c r="T22" s="10">
        <f t="shared" si="13"/>
        <v>0</v>
      </c>
      <c r="U22" s="10">
        <f t="shared" si="14"/>
        <v>0</v>
      </c>
      <c r="V22" s="10">
        <f t="shared" si="15"/>
        <v>0</v>
      </c>
      <c r="W22" s="10">
        <f t="shared" si="16"/>
        <v>0</v>
      </c>
      <c r="X22" s="12">
        <f t="shared" si="11"/>
        <v>6650</v>
      </c>
      <c r="Y22" s="12">
        <f t="shared" si="17"/>
        <v>1330</v>
      </c>
      <c r="Z22" s="12">
        <f t="shared" si="18"/>
        <v>1368</v>
      </c>
      <c r="AA22" s="12">
        <f t="shared" si="19"/>
        <v>1296</v>
      </c>
      <c r="AB22" s="12">
        <f t="shared" si="20"/>
        <v>1296</v>
      </c>
      <c r="AD22" s="1">
        <f t="shared" si="10"/>
        <v>11940</v>
      </c>
    </row>
    <row r="23" spans="1:30" x14ac:dyDescent="0.3">
      <c r="A23" t="s">
        <v>24</v>
      </c>
      <c r="B23" t="s">
        <v>44</v>
      </c>
      <c r="C23" s="1">
        <v>200</v>
      </c>
      <c r="D23" s="8">
        <v>40</v>
      </c>
      <c r="E23" s="8">
        <v>39</v>
      </c>
      <c r="F23" s="8">
        <v>40</v>
      </c>
      <c r="G23" s="8">
        <v>40</v>
      </c>
      <c r="H23" s="8">
        <v>42</v>
      </c>
      <c r="I23" s="9">
        <f>IF(D23&gt;40,D23-40,0)</f>
        <v>0</v>
      </c>
      <c r="J23" s="9">
        <f>IF(E23&gt;40,E23-40,0)</f>
        <v>0</v>
      </c>
      <c r="K23" s="9">
        <f t="shared" si="12"/>
        <v>0</v>
      </c>
      <c r="L23" s="9">
        <f t="shared" si="12"/>
        <v>0</v>
      </c>
      <c r="M23" s="9">
        <f t="shared" si="12"/>
        <v>2</v>
      </c>
      <c r="N23" s="11">
        <f>C23*D23</f>
        <v>8000</v>
      </c>
      <c r="O23" s="11">
        <f>D23*E23</f>
        <v>1560</v>
      </c>
      <c r="P23" s="11">
        <f t="shared" si="21"/>
        <v>1560</v>
      </c>
      <c r="Q23" s="11">
        <f t="shared" si="21"/>
        <v>1600</v>
      </c>
      <c r="R23" s="11">
        <f t="shared" si="21"/>
        <v>1680</v>
      </c>
      <c r="S23" s="10">
        <f t="shared" si="8"/>
        <v>0</v>
      </c>
      <c r="T23" s="10">
        <f t="shared" si="13"/>
        <v>0</v>
      </c>
      <c r="U23" s="10">
        <f t="shared" si="14"/>
        <v>0</v>
      </c>
      <c r="V23" s="10">
        <f t="shared" si="15"/>
        <v>0</v>
      </c>
      <c r="W23" s="10">
        <f t="shared" si="16"/>
        <v>200</v>
      </c>
      <c r="X23" s="12">
        <f t="shared" si="11"/>
        <v>8000</v>
      </c>
      <c r="Y23" s="12">
        <f t="shared" si="17"/>
        <v>1560</v>
      </c>
      <c r="Z23" s="12">
        <f t="shared" si="18"/>
        <v>1560</v>
      </c>
      <c r="AA23" s="12">
        <f t="shared" si="19"/>
        <v>1600</v>
      </c>
      <c r="AB23" s="12">
        <f t="shared" si="20"/>
        <v>1880</v>
      </c>
      <c r="AD23" s="1">
        <f t="shared" si="10"/>
        <v>14600</v>
      </c>
    </row>
    <row r="25" spans="1:30" x14ac:dyDescent="0.3">
      <c r="A25" t="s">
        <v>46</v>
      </c>
      <c r="C25" s="1">
        <f>MAX(C4:C23)</f>
        <v>230</v>
      </c>
      <c r="D25" s="3">
        <f>MAX(D4:D23)</f>
        <v>44</v>
      </c>
      <c r="E25" s="3">
        <f>MAX(E4:E23)</f>
        <v>45</v>
      </c>
      <c r="F25" s="3">
        <f>MAX(F4:F23)</f>
        <v>45</v>
      </c>
      <c r="G25" s="3">
        <f>MAX(G4:G23)</f>
        <v>44</v>
      </c>
      <c r="H25" s="3">
        <f>MAX(H4:H23)</f>
        <v>43</v>
      </c>
      <c r="I25" s="3">
        <f>MAX(I4:I23)</f>
        <v>4</v>
      </c>
      <c r="J25" s="3">
        <f t="shared" ref="J25:M25" si="22">MAX(J4:J23)</f>
        <v>5</v>
      </c>
      <c r="K25" s="3">
        <f t="shared" si="22"/>
        <v>5</v>
      </c>
      <c r="L25" s="3">
        <f t="shared" si="22"/>
        <v>4</v>
      </c>
      <c r="M25" s="3">
        <f t="shared" si="22"/>
        <v>3</v>
      </c>
      <c r="N25" s="1">
        <f>MAX(N4:N23)</f>
        <v>10120</v>
      </c>
      <c r="O25" s="1">
        <f t="shared" ref="O25:R25" si="23">MAX(O4:O23)</f>
        <v>5850</v>
      </c>
      <c r="P25" s="1">
        <f t="shared" si="23"/>
        <v>6300</v>
      </c>
      <c r="Q25" s="1">
        <f t="shared" si="23"/>
        <v>5250</v>
      </c>
      <c r="R25" s="1">
        <f t="shared" si="23"/>
        <v>6000</v>
      </c>
      <c r="S25" s="2">
        <f>MAX(S4:S23)</f>
        <v>460</v>
      </c>
      <c r="T25" s="2">
        <f t="shared" ref="T25:W25" si="24">MAX(T4:T23)</f>
        <v>562.5</v>
      </c>
      <c r="U25" s="2">
        <f t="shared" si="24"/>
        <v>450</v>
      </c>
      <c r="V25" s="2">
        <f t="shared" si="24"/>
        <v>340</v>
      </c>
      <c r="W25" s="2">
        <f t="shared" si="24"/>
        <v>285</v>
      </c>
      <c r="X25" s="2">
        <f t="shared" ref="X25:AB25" si="25">MAX(X4:X23)</f>
        <v>10580</v>
      </c>
      <c r="Y25" s="2">
        <f t="shared" si="25"/>
        <v>5850</v>
      </c>
      <c r="Z25" s="2">
        <f t="shared" si="25"/>
        <v>6450</v>
      </c>
      <c r="AA25" s="2">
        <f t="shared" si="25"/>
        <v>5250</v>
      </c>
      <c r="AB25" s="2">
        <f t="shared" si="25"/>
        <v>6000</v>
      </c>
      <c r="AC25" s="2">
        <f t="shared" ref="AC25:AD25" si="26">MAX(AC4:AC23)</f>
        <v>0</v>
      </c>
      <c r="AD25" s="2">
        <f t="shared" si="26"/>
        <v>29550</v>
      </c>
    </row>
    <row r="26" spans="1:30" x14ac:dyDescent="0.3">
      <c r="A26" t="s">
        <v>47</v>
      </c>
      <c r="C26" s="1">
        <f>MIN(C4:C23)</f>
        <v>150</v>
      </c>
      <c r="D26" s="3">
        <f>MIN(D4:D23)</f>
        <v>33</v>
      </c>
      <c r="E26" s="3">
        <f>MIN(E4:E23)</f>
        <v>30</v>
      </c>
      <c r="F26" s="3">
        <f>MIN(F4:F23)</f>
        <v>33</v>
      </c>
      <c r="G26" s="3">
        <f>MIN(G4:G23)</f>
        <v>34</v>
      </c>
      <c r="H26" s="3">
        <f>MIN(H4:H23)</f>
        <v>34</v>
      </c>
      <c r="I26" s="3">
        <f>MIN(I4:I23)</f>
        <v>0</v>
      </c>
      <c r="J26" s="3">
        <f t="shared" ref="J26:M26" si="27">MIN(J4:J23)</f>
        <v>0</v>
      </c>
      <c r="K26" s="3">
        <f t="shared" si="27"/>
        <v>0</v>
      </c>
      <c r="L26" s="3">
        <f t="shared" si="27"/>
        <v>0</v>
      </c>
      <c r="M26" s="3">
        <f t="shared" si="27"/>
        <v>0</v>
      </c>
      <c r="N26" s="1">
        <f>MIN(N4:N23)</f>
        <v>5610</v>
      </c>
      <c r="O26" s="1">
        <f t="shared" ref="O26:R26" si="28">MIN(O4:O23)</f>
        <v>1056</v>
      </c>
      <c r="P26" s="1">
        <f t="shared" si="28"/>
        <v>1050</v>
      </c>
      <c r="Q26" s="1">
        <f t="shared" si="28"/>
        <v>1156</v>
      </c>
      <c r="R26" s="1">
        <f>MIN(R4:R23)</f>
        <v>1156</v>
      </c>
      <c r="S26" s="2">
        <f>MIN(S4:S23)</f>
        <v>0</v>
      </c>
      <c r="T26" s="2">
        <f t="shared" ref="T26:W26" si="29">MIN(T4:T23)</f>
        <v>0</v>
      </c>
      <c r="U26" s="2">
        <f t="shared" si="29"/>
        <v>0</v>
      </c>
      <c r="V26" s="2">
        <f t="shared" si="29"/>
        <v>0</v>
      </c>
      <c r="W26" s="2">
        <f t="shared" si="29"/>
        <v>0</v>
      </c>
      <c r="X26" s="2">
        <f t="shared" ref="X26:AB26" si="30">MIN(X4:X23)</f>
        <v>5610</v>
      </c>
      <c r="Y26" s="2">
        <f t="shared" si="30"/>
        <v>1056</v>
      </c>
      <c r="Z26" s="2">
        <f t="shared" si="30"/>
        <v>1050</v>
      </c>
      <c r="AA26" s="2">
        <f t="shared" si="30"/>
        <v>1156</v>
      </c>
      <c r="AB26" s="2">
        <f t="shared" si="30"/>
        <v>1156</v>
      </c>
      <c r="AC26" s="2">
        <f t="shared" ref="AC26:AD26" si="31">MIN(AC4:AC23)</f>
        <v>0</v>
      </c>
      <c r="AD26" s="2">
        <f t="shared" si="31"/>
        <v>10574</v>
      </c>
    </row>
    <row r="27" spans="1:30" x14ac:dyDescent="0.3">
      <c r="A27" t="s">
        <v>48</v>
      </c>
      <c r="C27" s="1">
        <f>AVERAGE(C4:C23)</f>
        <v>192.75</v>
      </c>
      <c r="D27" s="3">
        <f>AVERAGE(D4:D23)</f>
        <v>38.450000000000003</v>
      </c>
      <c r="E27" s="3">
        <f>AVERAGE(E4:E23)</f>
        <v>38.65</v>
      </c>
      <c r="F27" s="3">
        <f>AVERAGE(F4:F23)</f>
        <v>39.049999999999997</v>
      </c>
      <c r="G27" s="3">
        <f>AVERAGE(G4:G23)</f>
        <v>38.65</v>
      </c>
      <c r="H27" s="3">
        <f>AVERAGE(H4:H23)</f>
        <v>38.799999999999997</v>
      </c>
      <c r="I27" s="3">
        <f>AVERAGE(I4:I23)</f>
        <v>0.6</v>
      </c>
      <c r="J27" s="3">
        <f t="shared" ref="J27:M27" si="32">AVERAGE(J4:J23)</f>
        <v>1</v>
      </c>
      <c r="K27" s="3">
        <f t="shared" si="32"/>
        <v>0.95</v>
      </c>
      <c r="L27" s="3">
        <f t="shared" si="32"/>
        <v>0.65</v>
      </c>
      <c r="M27" s="3">
        <f t="shared" si="32"/>
        <v>0.55000000000000004</v>
      </c>
      <c r="N27" s="1">
        <f>AVERAGE(N4:N23)</f>
        <v>7439.75</v>
      </c>
      <c r="O27" s="1">
        <f t="shared" ref="O27:R27" si="33">AVERAGE(O4:O23)</f>
        <v>1706.25</v>
      </c>
      <c r="P27" s="1">
        <f t="shared" si="33"/>
        <v>1748.4</v>
      </c>
      <c r="Q27" s="1">
        <f t="shared" si="33"/>
        <v>1705.1</v>
      </c>
      <c r="R27" s="1">
        <f t="shared" si="33"/>
        <v>1735.15</v>
      </c>
      <c r="S27" s="2">
        <f>AVERAGE(S4:S23)</f>
        <v>64.625</v>
      </c>
      <c r="T27" s="2">
        <f t="shared" ref="T27:W27" si="34">AVERAGE(T4:T23)</f>
        <v>102</v>
      </c>
      <c r="U27" s="2">
        <f t="shared" si="34"/>
        <v>88.625</v>
      </c>
      <c r="V27" s="2">
        <f t="shared" si="34"/>
        <v>60.75</v>
      </c>
      <c r="W27" s="2">
        <f t="shared" si="34"/>
        <v>52.125</v>
      </c>
      <c r="X27" s="2">
        <f t="shared" ref="X27:AB27" si="35">AVERAGE(X4:X23)</f>
        <v>7504.375</v>
      </c>
      <c r="Y27" s="2">
        <f t="shared" si="35"/>
        <v>1808.25</v>
      </c>
      <c r="Z27" s="2">
        <f t="shared" si="35"/>
        <v>1837.0250000000001</v>
      </c>
      <c r="AA27" s="2">
        <f t="shared" si="35"/>
        <v>1765.85</v>
      </c>
      <c r="AB27" s="2">
        <f t="shared" si="35"/>
        <v>1787.2750000000001</v>
      </c>
      <c r="AC27" s="2" t="e">
        <f t="shared" ref="AC27:AD27" si="36">AVERAGE(AC4:AC23)</f>
        <v>#DIV/0!</v>
      </c>
      <c r="AD27" s="2">
        <f t="shared" si="36"/>
        <v>14702.775</v>
      </c>
    </row>
    <row r="28" spans="1:30" x14ac:dyDescent="0.3">
      <c r="A28" t="s">
        <v>49</v>
      </c>
      <c r="C28" s="1">
        <f>SUM(C4:C23)</f>
        <v>3855</v>
      </c>
      <c r="D28" s="4">
        <f>SUM(D4:D23)</f>
        <v>769</v>
      </c>
      <c r="E28" s="4">
        <f>SUM(E4:E23)</f>
        <v>773</v>
      </c>
      <c r="F28" s="4">
        <f>SUM(F4:F23)</f>
        <v>781</v>
      </c>
      <c r="G28" s="4">
        <f>SUM(G4:G23)</f>
        <v>773</v>
      </c>
      <c r="H28" s="4">
        <f>SUM(H4:H23)</f>
        <v>776</v>
      </c>
      <c r="I28" s="4">
        <f>SUM(I4:I23)</f>
        <v>12</v>
      </c>
      <c r="J28" s="4">
        <f t="shared" ref="J28:M28" si="37">SUM(J4:J23)</f>
        <v>20</v>
      </c>
      <c r="K28" s="4">
        <f t="shared" si="37"/>
        <v>19</v>
      </c>
      <c r="L28" s="4">
        <f t="shared" si="37"/>
        <v>13</v>
      </c>
      <c r="M28" s="4">
        <f t="shared" si="37"/>
        <v>11</v>
      </c>
      <c r="N28" s="1">
        <f>SUM(N4:N23)</f>
        <v>148795</v>
      </c>
      <c r="O28" s="1">
        <f t="shared" ref="O28:R28" si="38">SUM(O4:O23)</f>
        <v>34125</v>
      </c>
      <c r="P28" s="1">
        <f t="shared" si="38"/>
        <v>34968</v>
      </c>
      <c r="Q28" s="1">
        <f t="shared" si="38"/>
        <v>34102</v>
      </c>
      <c r="R28" s="1">
        <f t="shared" si="38"/>
        <v>34703</v>
      </c>
      <c r="S28" s="2">
        <f>SUM(S4:S23)</f>
        <v>1292.5</v>
      </c>
      <c r="T28" s="2">
        <f t="shared" ref="T28:W28" si="39">SUM(T4:T23)</f>
        <v>2040</v>
      </c>
      <c r="U28" s="2">
        <f t="shared" si="39"/>
        <v>1772.5</v>
      </c>
      <c r="V28" s="2">
        <f t="shared" si="39"/>
        <v>1215</v>
      </c>
      <c r="W28" s="2">
        <f t="shared" si="39"/>
        <v>1042.5</v>
      </c>
      <c r="X28" s="2">
        <f t="shared" ref="X28:AB28" si="40">SUM(X4:X23)</f>
        <v>150087.5</v>
      </c>
      <c r="Y28" s="2">
        <f t="shared" si="40"/>
        <v>36165</v>
      </c>
      <c r="Z28" s="2">
        <f t="shared" si="40"/>
        <v>36740.5</v>
      </c>
      <c r="AA28" s="2">
        <f t="shared" si="40"/>
        <v>35317</v>
      </c>
      <c r="AB28" s="2">
        <f t="shared" si="40"/>
        <v>35745.5</v>
      </c>
      <c r="AC28" s="2">
        <f t="shared" ref="AC28:AD28" si="41">SUM(AC4:AC23)</f>
        <v>0</v>
      </c>
      <c r="AD28" s="2">
        <f t="shared" si="41"/>
        <v>294055.5</v>
      </c>
    </row>
  </sheetData>
  <pageMargins left="0.7" right="0.7" top="0.75" bottom="0.75" header="0.3" footer="0.3"/>
  <pageSetup scale="28" fitToHeight="0" orientation="landscape" r:id="rId1"/>
  <ignoredErrors>
    <ignoredError sqref="D25:D27" formulaRange="1"/>
    <ignoredError sqref="AC2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krishna</dc:creator>
  <cp:lastModifiedBy>mani krishna</cp:lastModifiedBy>
  <cp:lastPrinted>2026-01-29T11:33:35Z</cp:lastPrinted>
  <dcterms:created xsi:type="dcterms:W3CDTF">2026-01-29T09:31:53Z</dcterms:created>
  <dcterms:modified xsi:type="dcterms:W3CDTF">2026-01-29T11:41:09Z</dcterms:modified>
</cp:coreProperties>
</file>